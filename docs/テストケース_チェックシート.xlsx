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テストケース" state="visible" r:id="rId4"/>
    <sheet sheetId="2" name="集計" state="visible" r:id="rId5"/>
    <sheet sheetId="3" name="凡例" state="visible" r:id="rId6"/>
  </sheets>
  <calcPr calcId="171027"/>
</workbook>
</file>

<file path=xl/sharedStrings.xml><?xml version="1.0" encoding="utf-8"?>
<sst xmlns="http://schemas.openxmlformats.org/spreadsheetml/2006/main" count="725" uniqueCount="313">
  <si>
    <t>No.</t>
  </si>
  <si>
    <t>大項目</t>
  </si>
  <si>
    <t>中項目</t>
  </si>
  <si>
    <t>テスト内容</t>
  </si>
  <si>
    <t>前提条件・手順</t>
  </si>
  <si>
    <t>期待結果</t>
  </si>
  <si>
    <t>結果</t>
  </si>
  <si>
    <t>確認日</t>
  </si>
  <si>
    <t>確認者</t>
  </si>
  <si>
    <t>備考</t>
  </si>
  <si>
    <t>1-1-1</t>
  </si>
  <si>
    <t>1. お問い合わせフォーム（入力側）</t>
  </si>
  <si>
    <t>1-1. 入力画面（GET /contact）</t>
  </si>
  <si>
    <t>初回アクセス時の表示</t>
  </si>
  <si>
    <t>/contactに直接アクセスする</t>
  </si>
  <si>
    <t>4項目（お名前・メールアドレス・件名・本文）が空欄のフォームが表示される</t>
  </si>
  <si>
    <t/>
  </si>
  <si>
    <t>1-1-2</t>
  </si>
  <si>
    <t>確認画面から戻った際の値保持</t>
  </si>
  <si>
    <t>入力→確認画面→「戻る」で入力画面に戻る</t>
  </si>
  <si>
    <t>直前に入力した値がフォームに復元されている</t>
  </si>
  <si>
    <t>1-2-1</t>
  </si>
  <si>
    <t>1-2. バリデーション（POST /contact/confirm）</t>
  </si>
  <si>
    <t>全項目未入力</t>
  </si>
  <si>
    <t>何も入力せず確認画面へ進む</t>
  </si>
  <si>
    <t>4項目すべてについて「〜を入力してください。」が表示される</t>
  </si>
  <si>
    <t>1-2-2</t>
  </si>
  <si>
    <t>お名前が256文字以上</t>
  </si>
  <si>
    <t>お名前に256文字入力</t>
  </si>
  <si>
    <t>「お名前は255文字以内で入力してください。」が表示される</t>
  </si>
  <si>
    <t>1-2-3</t>
  </si>
  <si>
    <t>メールアドレスの形式不正</t>
  </si>
  <si>
    <t>例: abc, abc@, abc@com</t>
  </si>
  <si>
    <t>「メールアドレスの形式が正しくありません。」が表示される</t>
  </si>
  <si>
    <t>1-2-4</t>
  </si>
  <si>
    <t>メールアドレスが256文字以上</t>
  </si>
  <si>
    <t>256文字以上のメールアドレス</t>
  </si>
  <si>
    <t>文字数エラーが表示される</t>
  </si>
  <si>
    <t>1-2-5</t>
  </si>
  <si>
    <t>件名が256文字以上</t>
  </si>
  <si>
    <t>件名に256文字入力</t>
  </si>
  <si>
    <t>1-2-6</t>
  </si>
  <si>
    <t>本文が2001文字以上</t>
  </si>
  <si>
    <t>本文に2001文字入力</t>
  </si>
  <si>
    <t>「本文は2000文字以内で入力してください。」が表示される</t>
  </si>
  <si>
    <t>1-2-7</t>
  </si>
  <si>
    <t>全項目正常値</t>
  </si>
  <si>
    <t>すべて規定内の値で入力</t>
  </si>
  <si>
    <t>バリデーションを通過し確認画面が表示される</t>
  </si>
  <si>
    <t>1-2-8</t>
  </si>
  <si>
    <t>XSS対策</t>
  </si>
  <si>
    <t>本文等に&lt;script&gt;alert(1)&lt;/script&gt;を入力</t>
  </si>
  <si>
    <t>確認画面・管理画面ともにスクリプトが実行されず、文字列としてエスケープ表示される</t>
  </si>
  <si>
    <t>1-3-1</t>
  </si>
  <si>
    <t>1-3. 確認画面（画面表示・戻る・送信）</t>
  </si>
  <si>
    <t>入力内容の表示</t>
  </si>
  <si>
    <t>確認画面に遷移する</t>
  </si>
  <si>
    <t>入力した4項目の内容が正しく表示される</t>
  </si>
  <si>
    <t>1-3-2</t>
  </si>
  <si>
    <t>「戻る」の挙動</t>
  </si>
  <si>
    <t>「戻る」リンクをクリック</t>
  </si>
  <si>
    <t>入力画面に戻り、入力値が保持されている</t>
  </si>
  <si>
    <t>1-3-3</t>
  </si>
  <si>
    <t>「送信する」の挙動</t>
  </si>
  <si>
    <t>「送信する」ボタンをクリック</t>
  </si>
  <si>
    <t>送信処理が実行される</t>
  </si>
  <si>
    <t>1-4-1</t>
  </si>
  <si>
    <t>1-4. 送信処理（POST /contact）</t>
  </si>
  <si>
    <t>DB保存内容</t>
  </si>
  <si>
    <t>確認画面から送信</t>
  </si>
  <si>
    <t>contactsテーブルに入力内容が保存され、statusは「新規」になっている</t>
  </si>
  <si>
    <t>1-4-2</t>
  </si>
  <si>
    <t>セッションのクリア</t>
  </si>
  <si>
    <t>送信完了後</t>
  </si>
  <si>
    <t>session('contact.input')が削除されている（再度/contactにアクセスしても前回値が残らない）</t>
  </si>
  <si>
    <t>1-4-3</t>
  </si>
  <si>
    <t>サンクス画面への遷移</t>
  </si>
  <si>
    <t>/contact/thanksにリダイレクトされる</t>
  </si>
  <si>
    <t>1-4-4</t>
  </si>
  <si>
    <t>セッション情報なしでの直接POST</t>
  </si>
  <si>
    <t>/contact/confirmを経由せず/contactに直接POST</t>
  </si>
  <si>
    <t>/contactへエラー付きでリダイレクトされ、DBには保存されない</t>
  </si>
  <si>
    <t>1-4-5</t>
  </si>
  <si>
    <t>管理者への通知メール送信</t>
  </si>
  <si>
    <t>正常に送信完了</t>
  </si>
  <si>
    <t>CONTACT_ADMIN_EMAIL宛に新着通知メールが届く（件名「【お問い合わせ】{件名}」）</t>
  </si>
  <si>
    <t>1-4-6</t>
  </si>
  <si>
    <t>通知メール失敗時の挙動</t>
  </si>
  <si>
    <t>SMTP設定を一時的に不正な値にする等で送信失敗を発生させる</t>
  </si>
  <si>
    <t>問い合わせ自体は正常にDB保存され、サンクス画面が表示される（エラーにならない）</t>
  </si>
  <si>
    <t>1-4-7</t>
  </si>
  <si>
    <t>通知先未設定時の挙動</t>
  </si>
  <si>
    <t>CONTACT_ADMIN_EMAILを空にする</t>
  </si>
  <si>
    <t>メール送信処理がスキップされ、問い合わせ送信自体は正常に完了する</t>
  </si>
  <si>
    <t>1-5-1</t>
  </si>
  <si>
    <t>1-5. 完了画面・その他</t>
  </si>
  <si>
    <t>サンクスメッセージ表示</t>
  </si>
  <si>
    <t>/contact/thanksにアクセス</t>
  </si>
  <si>
    <t>「お問い合わせありがとうございました」が表示される</t>
  </si>
  <si>
    <t>1-5-2</t>
  </si>
  <si>
    <t>フォームへ戻るリンク</t>
  </si>
  <si>
    <t>サンクス画面のリンクをクリック</t>
  </si>
  <si>
    <t>/contactに遷移する</t>
  </si>
  <si>
    <t>1-5-3</t>
  </si>
  <si>
    <t>トップページのリダイレクト</t>
  </si>
  <si>
    <t>/にアクセス</t>
  </si>
  <si>
    <t>/contactにリダイレクトされる</t>
  </si>
  <si>
    <t>1-5-4</t>
  </si>
  <si>
    <t>CSRF保護</t>
  </si>
  <si>
    <t>_tokenを付けずに/contact/confirm等へPOST</t>
  </si>
  <si>
    <t>419エラーとなり処理されない</t>
  </si>
  <si>
    <t>2-1-1</t>
  </si>
  <si>
    <t>2. 管理側</t>
  </si>
  <si>
    <t>2-1. 認証（Googleログイン）</t>
  </si>
  <si>
    <t>未ログイン時のアクセス制限</t>
  </si>
  <si>
    <t>未ログイン状態で/admin/contactsに直接アクセス</t>
  </si>
  <si>
    <t>/admin/loginにリダイレクトされる</t>
  </si>
  <si>
    <t>2-1-2</t>
  </si>
  <si>
    <t>ログイン画面の表示</t>
  </si>
  <si>
    <t>/admin/loginにアクセス</t>
  </si>
  <si>
    <t>「Googleでログインする」ボタンが表示される</t>
  </si>
  <si>
    <t>2-1-3</t>
  </si>
  <si>
    <t>Google認可画面への遷移</t>
  </si>
  <si>
    <t>ボタンをクリック</t>
  </si>
  <si>
    <t>Googleの認可画面（accounts.google.com）に遷移する</t>
  </si>
  <si>
    <t>2-1-4</t>
  </si>
  <si>
    <t>登録済みアカウントでのログイン成功</t>
  </si>
  <si>
    <t>usersテーブルに登録済みのメールアドレスのGoogleアカウントで認可</t>
  </si>
  <si>
    <t>ログインに成功し、問い合わせ一覧が表示される</t>
  </si>
  <si>
    <t>2-1-5</t>
  </si>
  <si>
    <t>未登録アカウントでのログイン拒否</t>
  </si>
  <si>
    <t>usersテーブルに存在しないメールアドレスのGoogleアカウントで認可</t>
  </si>
  <si>
    <t>ログインを拒否され、「このGoogleアカウントは管理者として登録されていません。」が表示される</t>
  </si>
  <si>
    <t>2-1-6</t>
  </si>
  <si>
    <t>未登録アカウントでの自動作成防止</t>
  </si>
  <si>
    <t>上記2-1-5の操作後</t>
  </si>
  <si>
    <t>usersテーブルに新規レコードが作成されていないこと</t>
  </si>
  <si>
    <t>2-1-7</t>
  </si>
  <si>
    <t>intended（元のアクセス先）への復帰</t>
  </si>
  <si>
    <t>未ログインで/admin/contacts/5等の詳細URLに直接アクセス→ログイン</t>
  </si>
  <si>
    <t>ログイン後、一覧ではなく元々アクセスしようとした詳細ページに遷移する</t>
  </si>
  <si>
    <t>2-1-8</t>
  </si>
  <si>
    <t>ログイン済みユーザーのログイン画面アクセス</t>
  </si>
  <si>
    <t>ログイン済み状態で/admin/loginまたは/admin/auth/google/redirectにアクセス</t>
  </si>
  <si>
    <t>問い合わせ一覧にリダイレクトされる</t>
  </si>
  <si>
    <t>2-1-9</t>
  </si>
  <si>
    <t>ログアウト</t>
  </si>
  <si>
    <t>一覧画面等で「ログアウト」ボタンをクリック</t>
  </si>
  <si>
    <t>セッションが破棄され、「ログアウトしました。」と共にログイン画面が表示される</t>
  </si>
  <si>
    <t>2-1-10</t>
  </si>
  <si>
    <t>ログアウト後のアクセス制限</t>
  </si>
  <si>
    <t>ログアウト後、/admin/contactsに再アクセス</t>
  </si>
  <si>
    <t>再度ログイン画面にリダイレクトされる</t>
  </si>
  <si>
    <t>2-2-1</t>
  </si>
  <si>
    <t>2-2. 問い合わせ一覧・ページネーション</t>
  </si>
  <si>
    <t>一覧表示・並び順</t>
  </si>
  <si>
    <t>ログイン後/admin/contactsにアクセス</t>
  </si>
  <si>
    <t>登録済みの問い合わせが受付日時の新しい順に表示される</t>
  </si>
  <si>
    <t>2-2-2</t>
  </si>
  <si>
    <t>ページネーション件数</t>
  </si>
  <si>
    <t>21件以上の問い合わせが存在する状態</t>
  </si>
  <si>
    <t>1ページ20件で分割表示される</t>
  </si>
  <si>
    <t>2-2-3</t>
  </si>
  <si>
    <t>ページネーションの見た目</t>
  </si>
  <si>
    <t>一覧画面下部を確認</t>
  </si>
  <si>
    <t>前へ／次へ／ページ番号が適切な大きさで表示される（アイコンが異常に大きくならない）</t>
  </si>
  <si>
    <t>2-2-4</t>
  </si>
  <si>
    <t>ページ送りの動作</t>
  </si>
  <si>
    <t>「次へ」「前へ」やページ番号をクリック</t>
  </si>
  <si>
    <t>該当ページのデータが表示される</t>
  </si>
  <si>
    <t>2-2-5</t>
  </si>
  <si>
    <t>0件時の表示</t>
  </si>
  <si>
    <t>問い合わせが1件もない状態</t>
  </si>
  <si>
    <t>「お問い合わせはまだありません。」と表示される</t>
  </si>
  <si>
    <t>2-2-6</t>
  </si>
  <si>
    <t>詳細画面への遷移</t>
  </si>
  <si>
    <t>お名前のリンクをクリック</t>
  </si>
  <si>
    <t>該当する問い合わせの詳細画面に遷移する</t>
  </si>
  <si>
    <t>2-3-1</t>
  </si>
  <si>
    <t>2-3. 検索・絞り込み</t>
  </si>
  <si>
    <t>氏名の部分一致検索</t>
  </si>
  <si>
    <t>氏名欄に一部の文字を入力して検索</t>
  </si>
  <si>
    <t>部分一致する問い合わせのみ表示される</t>
  </si>
  <si>
    <t>2-3-2</t>
  </si>
  <si>
    <t>開始日のみ指定</t>
  </si>
  <si>
    <t>開始日を指定し終了日は空欄で検索</t>
  </si>
  <si>
    <t>指定日以降の問い合わせのみ表示される</t>
  </si>
  <si>
    <t>2-3-3</t>
  </si>
  <si>
    <t>終了日のみ指定</t>
  </si>
  <si>
    <t>終了日を指定し開始日は空欄で検索</t>
  </si>
  <si>
    <t>指定日以前の問い合わせのみ表示される</t>
  </si>
  <si>
    <t>2-3-4</t>
  </si>
  <si>
    <t>期間指定（開始日〜終了日）</t>
  </si>
  <si>
    <t>両方指定して検索</t>
  </si>
  <si>
    <t>期間内の問い合わせのみ表示される</t>
  </si>
  <si>
    <t>2-3-5</t>
  </si>
  <si>
    <t>不正な期間指定</t>
  </si>
  <si>
    <t>終了日を開始日より前の日付にして検索</t>
  </si>
  <si>
    <t>バリデーションエラーが表示される</t>
  </si>
  <si>
    <t>2-3-6</t>
  </si>
  <si>
    <t>ステータスの複数選択</t>
  </si>
  <si>
    <t>「新規」「対応中」にチェックして検索</t>
  </si>
  <si>
    <t>いずれかに該当する問い合わせが表示される（「解決済み」は除外）</t>
  </si>
  <si>
    <t>2-3-7</t>
  </si>
  <si>
    <t>複数条件のAND検索</t>
  </si>
  <si>
    <t>氏名＋期間＋ステータスを同時指定</t>
  </si>
  <si>
    <t>すべての条件を満たす問い合わせのみ表示される</t>
  </si>
  <si>
    <t>2-3-8</t>
  </si>
  <si>
    <t>検索条件のページネーション保持</t>
  </si>
  <si>
    <t>検索結果が21件以上の状態でページ送り</t>
  </si>
  <si>
    <t>2ページ目以降でも検索条件が維持されたまま絞り込まれる</t>
  </si>
  <si>
    <t>2-3-9</t>
  </si>
  <si>
    <t>検索条件のクリア</t>
  </si>
  <si>
    <t>「クリア」リンクをクリック</t>
  </si>
  <si>
    <t>条件なしの全件一覧に戻る</t>
  </si>
  <si>
    <t>2-3-10</t>
  </si>
  <si>
    <t>該当なしの場合の表示</t>
  </si>
  <si>
    <t>存在しない氏名等で検索</t>
  </si>
  <si>
    <t>2-4-1</t>
  </si>
  <si>
    <t>2-4. 詳細画面・ステータス更新</t>
  </si>
  <si>
    <t>詳細情報の表示</t>
  </si>
  <si>
    <t>詳細画面にアクセス</t>
  </si>
  <si>
    <t>お名前・メールアドレス・件名・本文・受付日時が正しく表示される</t>
  </si>
  <si>
    <t>2-4-2</t>
  </si>
  <si>
    <t>存在しないIDへのアクセス</t>
  </si>
  <si>
    <t>/admin/contacts/99999等にアクセス</t>
  </si>
  <si>
    <t>404エラーになる</t>
  </si>
  <si>
    <t>2-4-3</t>
  </si>
  <si>
    <t>ステータス更新</t>
  </si>
  <si>
    <t>ドロップダウンで「対応中」等を選択し更新</t>
  </si>
  <si>
    <t>DBのステータスが更新され、一覧にも反映される</t>
  </si>
  <si>
    <t>2-4-4</t>
  </si>
  <si>
    <t>更新後のフラッシュメッセージ</t>
  </si>
  <si>
    <t>ステータス更新後</t>
  </si>
  <si>
    <t>「ステータスを更新しました。」と表示される</t>
  </si>
  <si>
    <t>2-4-5</t>
  </si>
  <si>
    <t>不正なステータス値</t>
  </si>
  <si>
    <t>フォームを改変し規定外の値（例: hoge）を送信</t>
  </si>
  <si>
    <t>バリデーションエラーとなり更新されない</t>
  </si>
  <si>
    <t>2-5-1</t>
  </si>
  <si>
    <t>2-5. メール返信・送信履歴</t>
  </si>
  <si>
    <t>返信メール送信</t>
  </si>
  <si>
    <t>返信本文を入力して送信</t>
  </si>
  <si>
    <t>問い合わせ者のメールアドレス宛にメールが届く</t>
  </si>
  <si>
    <t>2-5-2</t>
  </si>
  <si>
    <t>返信メールの件名</t>
  </si>
  <si>
    <t>送信されたメールを確認</t>
  </si>
  <si>
    <t>件名が「Re: {元の件名}」になっている</t>
  </si>
  <si>
    <t>2-5-3</t>
  </si>
  <si>
    <t>返信本文未入力</t>
  </si>
  <si>
    <t>空欄のまま送信</t>
  </si>
  <si>
    <t>「返信本文を入力してください。」が表示される</t>
  </si>
  <si>
    <t>2-5-4</t>
  </si>
  <si>
    <t>返信本文が2001文字以上</t>
  </si>
  <si>
    <t>2001文字入力して送信</t>
  </si>
  <si>
    <t>2-5-5</t>
  </si>
  <si>
    <t>送信履歴への反映</t>
  </si>
  <si>
    <t>返信送信後</t>
  </si>
  <si>
    <t>contact_repliesテーブルに保存され、詳細画面の「送信履歴」に表示される</t>
  </si>
  <si>
    <t>2-5-6</t>
  </si>
  <si>
    <t>送信履歴の並び順</t>
  </si>
  <si>
    <t>複数回返信した状態で詳細画面を確認</t>
  </si>
  <si>
    <t>新しい順（最新の返信が上）に表示される</t>
  </si>
  <si>
    <t>2-5-7</t>
  </si>
  <si>
    <t>履歴なし時の表示</t>
  </si>
  <si>
    <t>一度も返信していない問い合わせの詳細画面</t>
  </si>
  <si>
    <t>「まだ返信はありません。」と表示される</t>
  </si>
  <si>
    <t>2-5-8</t>
  </si>
  <si>
    <t>複数回返信の履歴蓄積</t>
  </si>
  <si>
    <t>同じ問い合わせに2回以上返信</t>
  </si>
  <si>
    <t>すべての返信が履歴として残り、詳細画面に列挙される</t>
  </si>
  <si>
    <t>2-6-1</t>
  </si>
  <si>
    <t>2-6. 権限・セキュリティ</t>
  </si>
  <si>
    <t>未ログイン時の一覧アクセス制限</t>
  </si>
  <si>
    <t>未ログインで/admin/contactsにGETアクセス</t>
  </si>
  <si>
    <t>ログイン画面にリダイレクトされる</t>
  </si>
  <si>
    <t>2-6-2</t>
  </si>
  <si>
    <t>未ログイン時の詳細アクセス制限</t>
  </si>
  <si>
    <t>未ログインで/admin/contacts/1にGETアクセス</t>
  </si>
  <si>
    <t>2-6-3</t>
  </si>
  <si>
    <t>未ログイン時のステータス更新制限</t>
  </si>
  <si>
    <t>未ログインで/admin/contacts/1/statusにPATCH送信</t>
  </si>
  <si>
    <t>ログイン画面にリダイレクトされ、DBは更新されない</t>
  </si>
  <si>
    <t>2-6-4</t>
  </si>
  <si>
    <t>未ログイン時の返信送信制限</t>
  </si>
  <si>
    <t>未ログインで/admin/contacts/1/repliesにPOST送信</t>
  </si>
  <si>
    <t>ログイン画面にリダイレクトされ、メールは送信されない</t>
  </si>
  <si>
    <t>2-6-5</t>
  </si>
  <si>
    <t>公開ページからの管理URL秘匿</t>
  </si>
  <si>
    <t>/contact系ページのHTMLソースを確認</t>
  </si>
  <si>
    <t>/admin関連のリンク・URLが一切含まれていない</t>
  </si>
  <si>
    <t>項目</t>
  </si>
  <si>
    <t>件数</t>
  </si>
  <si>
    <t>総ケース数</t>
  </si>
  <si>
    <t>○（合格）</t>
  </si>
  <si>
    <t>×（不合格）</t>
  </si>
  <si>
    <t>－（対象外・未実施）</t>
  </si>
  <si>
    <t>未確認（空欄）</t>
  </si>
  <si>
    <t>消化率</t>
  </si>
  <si>
    <t>中項目別</t>
  </si>
  <si>
    <t>○ / 総数</t>
  </si>
  <si>
    <t>記号</t>
  </si>
  <si>
    <t>意味</t>
  </si>
  <si>
    <t>○</t>
  </si>
  <si>
    <t>期待結果のとおりだった（合格）</t>
  </si>
  <si>
    <t>×</t>
  </si>
  <si>
    <t>期待結果と異なった（不合格）。内容は「備考」欄に記入する</t>
  </si>
  <si>
    <t>－</t>
  </si>
  <si>
    <t>対象外、または今回は確認しない</t>
  </si>
  <si>
    <t>（空欄）</t>
  </si>
  <si>
    <t>まだ確認していない</t>
  </si>
  <si>
    <t>このシートは docs/テストケース.md から自動生成しています。</t>
  </si>
  <si>
    <t>テストケースを追加・変更するときは、まず .md を直してから再生成してください。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</si>
</sst>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"/>
    <numFmt numFmtId="165" formatCode="0.0%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rgb="FFD0D0D0"/>
      </left>
      <right style="hair">
        <color rgb="FFD0D0D0"/>
      </right>
      <top style="hair">
        <color rgb="FFD0D0D0"/>
      </top>
      <bottom style="hair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164" fontId="0" fillId="0" borderId="2" xfId="0" applyNumberFormat="1" applyBorder="1" applyAlignment="1">
      <alignment horizontal="center" vertical="top" wrapText="1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/>
    <xf numFmtId="0" fontId="4" fillId="0" borderId="0" xfId="0" applyFont="1"/>
    <xf numFmtId="0" fontId="4" fillId="3" borderId="0" xfId="0" applyFont="1" applyFill="1" applyAlignment="1">
      <alignment vertical="center"/>
    </xf>
    <xf numFmtId="0" fontId="4" fillId="3" borderId="0" xfId="0" applyFont="1" applyFill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bgColor rgb="FFFCE4E4"/>
        </patternFill>
      </fill>
    </dxf>
    <dxf>
      <fill>
        <patternFill patternType="solid">
          <bgColor rgb="FFE9F5EA"/>
        </patternFill>
      </fill>
    </dxf>
    <dxf>
      <fill>
        <patternFill patternType="solid">
          <bgColor rgb="FFF0F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30" customWidth="1"/>
    <col min="4" max="4" width="28" customWidth="1"/>
    <col min="5" max="5" width="44" customWidth="1"/>
    <col min="6" max="6" width="52" customWidth="1"/>
    <col min="7" max="7" width="8" customWidth="1"/>
    <col min="8" max="9" width="12" customWidth="1"/>
    <col min="10" max="10" width="34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5" t="s">
        <v>16</v>
      </c>
      <c r="I2" s="3" t="s">
        <v>16</v>
      </c>
      <c r="J2" s="3" t="s">
        <v>16</v>
      </c>
    </row>
    <row r="3" spans="1:10" x14ac:dyDescent="0.25">
      <c r="A3" s="2" t="s">
        <v>17</v>
      </c>
      <c r="B3" s="3" t="s">
        <v>11</v>
      </c>
      <c r="C3" s="3" t="s">
        <v>12</v>
      </c>
      <c r="D3" s="3" t="s">
        <v>18</v>
      </c>
      <c r="E3" s="3" t="s">
        <v>19</v>
      </c>
      <c r="F3" s="3" t="s">
        <v>20</v>
      </c>
      <c r="G3" s="4" t="s">
        <v>16</v>
      </c>
      <c r="H3" s="5" t="s">
        <v>16</v>
      </c>
      <c r="I3" s="3" t="s">
        <v>16</v>
      </c>
      <c r="J3" s="3" t="s">
        <v>16</v>
      </c>
    </row>
    <row r="4" spans="1:10" x14ac:dyDescent="0.25">
      <c r="A4" s="2" t="s">
        <v>21</v>
      </c>
      <c r="B4" s="3" t="s">
        <v>11</v>
      </c>
      <c r="C4" s="3" t="s">
        <v>22</v>
      </c>
      <c r="D4" s="3" t="s">
        <v>23</v>
      </c>
      <c r="E4" s="3" t="s">
        <v>24</v>
      </c>
      <c r="F4" s="3" t="s">
        <v>25</v>
      </c>
      <c r="G4" s="4" t="s">
        <v>16</v>
      </c>
      <c r="H4" s="5" t="s">
        <v>16</v>
      </c>
      <c r="I4" s="3" t="s">
        <v>16</v>
      </c>
      <c r="J4" s="3" t="s">
        <v>16</v>
      </c>
    </row>
    <row r="5" spans="1:10" x14ac:dyDescent="0.25">
      <c r="A5" s="2" t="s">
        <v>26</v>
      </c>
      <c r="B5" s="3" t="s">
        <v>11</v>
      </c>
      <c r="C5" s="3" t="s">
        <v>22</v>
      </c>
      <c r="D5" s="3" t="s">
        <v>27</v>
      </c>
      <c r="E5" s="3" t="s">
        <v>28</v>
      </c>
      <c r="F5" s="3" t="s">
        <v>29</v>
      </c>
      <c r="G5" s="4" t="s">
        <v>16</v>
      </c>
      <c r="H5" s="5" t="s">
        <v>16</v>
      </c>
      <c r="I5" s="3" t="s">
        <v>16</v>
      </c>
      <c r="J5" s="3" t="s">
        <v>16</v>
      </c>
    </row>
    <row r="6" spans="1:10" x14ac:dyDescent="0.25">
      <c r="A6" s="2" t="s">
        <v>30</v>
      </c>
      <c r="B6" s="3" t="s">
        <v>11</v>
      </c>
      <c r="C6" s="3" t="s">
        <v>22</v>
      </c>
      <c r="D6" s="3" t="s">
        <v>31</v>
      </c>
      <c r="E6" s="3" t="s">
        <v>32</v>
      </c>
      <c r="F6" s="3" t="s">
        <v>33</v>
      </c>
      <c r="G6" s="4" t="s">
        <v>16</v>
      </c>
      <c r="H6" s="5" t="s">
        <v>16</v>
      </c>
      <c r="I6" s="3" t="s">
        <v>16</v>
      </c>
      <c r="J6" s="3" t="s">
        <v>16</v>
      </c>
    </row>
    <row r="7" spans="1:10" x14ac:dyDescent="0.25">
      <c r="A7" s="2" t="s">
        <v>34</v>
      </c>
      <c r="B7" s="3" t="s">
        <v>11</v>
      </c>
      <c r="C7" s="3" t="s">
        <v>22</v>
      </c>
      <c r="D7" s="3" t="s">
        <v>35</v>
      </c>
      <c r="E7" s="3" t="s">
        <v>36</v>
      </c>
      <c r="F7" s="3" t="s">
        <v>37</v>
      </c>
      <c r="G7" s="4" t="s">
        <v>16</v>
      </c>
      <c r="H7" s="5" t="s">
        <v>16</v>
      </c>
      <c r="I7" s="3" t="s">
        <v>16</v>
      </c>
      <c r="J7" s="3" t="s">
        <v>16</v>
      </c>
    </row>
    <row r="8" spans="1:10" x14ac:dyDescent="0.25">
      <c r="A8" s="2" t="s">
        <v>38</v>
      </c>
      <c r="B8" s="3" t="s">
        <v>11</v>
      </c>
      <c r="C8" s="3" t="s">
        <v>22</v>
      </c>
      <c r="D8" s="3" t="s">
        <v>39</v>
      </c>
      <c r="E8" s="3" t="s">
        <v>40</v>
      </c>
      <c r="F8" s="3" t="s">
        <v>37</v>
      </c>
      <c r="G8" s="4" t="s">
        <v>16</v>
      </c>
      <c r="H8" s="5" t="s">
        <v>16</v>
      </c>
      <c r="I8" s="3" t="s">
        <v>16</v>
      </c>
      <c r="J8" s="3" t="s">
        <v>16</v>
      </c>
    </row>
    <row r="9" spans="1:10" x14ac:dyDescent="0.25">
      <c r="A9" s="2" t="s">
        <v>41</v>
      </c>
      <c r="B9" s="3" t="s">
        <v>11</v>
      </c>
      <c r="C9" s="3" t="s">
        <v>22</v>
      </c>
      <c r="D9" s="3" t="s">
        <v>42</v>
      </c>
      <c r="E9" s="3" t="s">
        <v>43</v>
      </c>
      <c r="F9" s="3" t="s">
        <v>44</v>
      </c>
      <c r="G9" s="4" t="s">
        <v>16</v>
      </c>
      <c r="H9" s="5" t="s">
        <v>16</v>
      </c>
      <c r="I9" s="3" t="s">
        <v>16</v>
      </c>
      <c r="J9" s="3" t="s">
        <v>16</v>
      </c>
    </row>
    <row r="10" spans="1:10" x14ac:dyDescent="0.25">
      <c r="A10" s="2" t="s">
        <v>45</v>
      </c>
      <c r="B10" s="3" t="s">
        <v>11</v>
      </c>
      <c r="C10" s="3" t="s">
        <v>22</v>
      </c>
      <c r="D10" s="3" t="s">
        <v>46</v>
      </c>
      <c r="E10" s="3" t="s">
        <v>47</v>
      </c>
      <c r="F10" s="3" t="s">
        <v>48</v>
      </c>
      <c r="G10" s="4" t="s">
        <v>16</v>
      </c>
      <c r="H10" s="5" t="s">
        <v>16</v>
      </c>
      <c r="I10" s="3" t="s">
        <v>16</v>
      </c>
      <c r="J10" s="3" t="s">
        <v>16</v>
      </c>
    </row>
    <row r="11" spans="1:10" x14ac:dyDescent="0.25">
      <c r="A11" s="2" t="s">
        <v>49</v>
      </c>
      <c r="B11" s="3" t="s">
        <v>11</v>
      </c>
      <c r="C11" s="3" t="s">
        <v>22</v>
      </c>
      <c r="D11" s="3" t="s">
        <v>50</v>
      </c>
      <c r="E11" s="3" t="s">
        <v>51</v>
      </c>
      <c r="F11" s="3" t="s">
        <v>52</v>
      </c>
      <c r="G11" s="4" t="s">
        <v>16</v>
      </c>
      <c r="H11" s="5" t="s">
        <v>16</v>
      </c>
      <c r="I11" s="3" t="s">
        <v>16</v>
      </c>
      <c r="J11" s="3" t="s">
        <v>16</v>
      </c>
    </row>
    <row r="12" spans="1:10" x14ac:dyDescent="0.25">
      <c r="A12" s="2" t="s">
        <v>53</v>
      </c>
      <c r="B12" s="3" t="s">
        <v>11</v>
      </c>
      <c r="C12" s="3" t="s">
        <v>54</v>
      </c>
      <c r="D12" s="3" t="s">
        <v>55</v>
      </c>
      <c r="E12" s="3" t="s">
        <v>56</v>
      </c>
      <c r="F12" s="3" t="s">
        <v>57</v>
      </c>
      <c r="G12" s="4" t="s">
        <v>16</v>
      </c>
      <c r="H12" s="5" t="s">
        <v>16</v>
      </c>
      <c r="I12" s="3" t="s">
        <v>16</v>
      </c>
      <c r="J12" s="3" t="s">
        <v>16</v>
      </c>
    </row>
    <row r="13" spans="1:10" x14ac:dyDescent="0.25">
      <c r="A13" s="2" t="s">
        <v>58</v>
      </c>
      <c r="B13" s="3" t="s">
        <v>11</v>
      </c>
      <c r="C13" s="3" t="s">
        <v>54</v>
      </c>
      <c r="D13" s="3" t="s">
        <v>59</v>
      </c>
      <c r="E13" s="3" t="s">
        <v>60</v>
      </c>
      <c r="F13" s="3" t="s">
        <v>61</v>
      </c>
      <c r="G13" s="4" t="s">
        <v>16</v>
      </c>
      <c r="H13" s="5" t="s">
        <v>16</v>
      </c>
      <c r="I13" s="3" t="s">
        <v>16</v>
      </c>
      <c r="J13" s="3" t="s">
        <v>16</v>
      </c>
    </row>
    <row r="14" spans="1:10" x14ac:dyDescent="0.25">
      <c r="A14" s="2" t="s">
        <v>62</v>
      </c>
      <c r="B14" s="3" t="s">
        <v>11</v>
      </c>
      <c r="C14" s="3" t="s">
        <v>54</v>
      </c>
      <c r="D14" s="3" t="s">
        <v>63</v>
      </c>
      <c r="E14" s="3" t="s">
        <v>64</v>
      </c>
      <c r="F14" s="3" t="s">
        <v>65</v>
      </c>
      <c r="G14" s="4" t="s">
        <v>16</v>
      </c>
      <c r="H14" s="5" t="s">
        <v>16</v>
      </c>
      <c r="I14" s="3" t="s">
        <v>16</v>
      </c>
      <c r="J14" s="3" t="s">
        <v>16</v>
      </c>
    </row>
    <row r="15" spans="1:10" x14ac:dyDescent="0.25">
      <c r="A15" s="2" t="s">
        <v>66</v>
      </c>
      <c r="B15" s="3" t="s">
        <v>11</v>
      </c>
      <c r="C15" s="3" t="s">
        <v>67</v>
      </c>
      <c r="D15" s="3" t="s">
        <v>68</v>
      </c>
      <c r="E15" s="3" t="s">
        <v>69</v>
      </c>
      <c r="F15" s="3" t="s">
        <v>70</v>
      </c>
      <c r="G15" s="4" t="s">
        <v>16</v>
      </c>
      <c r="H15" s="5" t="s">
        <v>16</v>
      </c>
      <c r="I15" s="3" t="s">
        <v>16</v>
      </c>
      <c r="J15" s="3" t="s">
        <v>16</v>
      </c>
    </row>
    <row r="16" spans="1:10" x14ac:dyDescent="0.25">
      <c r="A16" s="2" t="s">
        <v>71</v>
      </c>
      <c r="B16" s="3" t="s">
        <v>11</v>
      </c>
      <c r="C16" s="3" t="s">
        <v>67</v>
      </c>
      <c r="D16" s="3" t="s">
        <v>72</v>
      </c>
      <c r="E16" s="3" t="s">
        <v>73</v>
      </c>
      <c r="F16" s="3" t="s">
        <v>74</v>
      </c>
      <c r="G16" s="4" t="s">
        <v>16</v>
      </c>
      <c r="H16" s="5" t="s">
        <v>16</v>
      </c>
      <c r="I16" s="3" t="s">
        <v>16</v>
      </c>
      <c r="J16" s="3" t="s">
        <v>16</v>
      </c>
    </row>
    <row r="17" spans="1:10" x14ac:dyDescent="0.25">
      <c r="A17" s="2" t="s">
        <v>75</v>
      </c>
      <c r="B17" s="3" t="s">
        <v>11</v>
      </c>
      <c r="C17" s="3" t="s">
        <v>67</v>
      </c>
      <c r="D17" s="3" t="s">
        <v>76</v>
      </c>
      <c r="E17" s="3" t="s">
        <v>73</v>
      </c>
      <c r="F17" s="3" t="s">
        <v>77</v>
      </c>
      <c r="G17" s="4" t="s">
        <v>16</v>
      </c>
      <c r="H17" s="5" t="s">
        <v>16</v>
      </c>
      <c r="I17" s="3" t="s">
        <v>16</v>
      </c>
      <c r="J17" s="3" t="s">
        <v>16</v>
      </c>
    </row>
    <row r="18" spans="1:10" x14ac:dyDescent="0.25">
      <c r="A18" s="2" t="s">
        <v>78</v>
      </c>
      <c r="B18" s="3" t="s">
        <v>11</v>
      </c>
      <c r="C18" s="3" t="s">
        <v>67</v>
      </c>
      <c r="D18" s="3" t="s">
        <v>79</v>
      </c>
      <c r="E18" s="3" t="s">
        <v>80</v>
      </c>
      <c r="F18" s="3" t="s">
        <v>81</v>
      </c>
      <c r="G18" s="4" t="s">
        <v>16</v>
      </c>
      <c r="H18" s="5" t="s">
        <v>16</v>
      </c>
      <c r="I18" s="3" t="s">
        <v>16</v>
      </c>
      <c r="J18" s="3" t="s">
        <v>16</v>
      </c>
    </row>
    <row r="19" spans="1:10" x14ac:dyDescent="0.25">
      <c r="A19" s="2" t="s">
        <v>82</v>
      </c>
      <c r="B19" s="3" t="s">
        <v>11</v>
      </c>
      <c r="C19" s="3" t="s">
        <v>67</v>
      </c>
      <c r="D19" s="3" t="s">
        <v>83</v>
      </c>
      <c r="E19" s="3" t="s">
        <v>84</v>
      </c>
      <c r="F19" s="3" t="s">
        <v>85</v>
      </c>
      <c r="G19" s="4" t="s">
        <v>16</v>
      </c>
      <c r="H19" s="5" t="s">
        <v>16</v>
      </c>
      <c r="I19" s="3" t="s">
        <v>16</v>
      </c>
      <c r="J19" s="3" t="s">
        <v>16</v>
      </c>
    </row>
    <row r="20" spans="1:10" x14ac:dyDescent="0.25">
      <c r="A20" s="2" t="s">
        <v>86</v>
      </c>
      <c r="B20" s="3" t="s">
        <v>11</v>
      </c>
      <c r="C20" s="3" t="s">
        <v>67</v>
      </c>
      <c r="D20" s="3" t="s">
        <v>87</v>
      </c>
      <c r="E20" s="3" t="s">
        <v>88</v>
      </c>
      <c r="F20" s="3" t="s">
        <v>89</v>
      </c>
      <c r="G20" s="4" t="s">
        <v>16</v>
      </c>
      <c r="H20" s="5" t="s">
        <v>16</v>
      </c>
      <c r="I20" s="3" t="s">
        <v>16</v>
      </c>
      <c r="J20" s="3" t="s">
        <v>16</v>
      </c>
    </row>
    <row r="21" spans="1:10" x14ac:dyDescent="0.25">
      <c r="A21" s="2" t="s">
        <v>90</v>
      </c>
      <c r="B21" s="3" t="s">
        <v>11</v>
      </c>
      <c r="C21" s="3" t="s">
        <v>67</v>
      </c>
      <c r="D21" s="3" t="s">
        <v>91</v>
      </c>
      <c r="E21" s="3" t="s">
        <v>92</v>
      </c>
      <c r="F21" s="3" t="s">
        <v>93</v>
      </c>
      <c r="G21" s="4" t="s">
        <v>16</v>
      </c>
      <c r="H21" s="5" t="s">
        <v>16</v>
      </c>
      <c r="I21" s="3" t="s">
        <v>16</v>
      </c>
      <c r="J21" s="3" t="s">
        <v>16</v>
      </c>
    </row>
    <row r="22" spans="1:10" x14ac:dyDescent="0.25">
      <c r="A22" s="2" t="s">
        <v>94</v>
      </c>
      <c r="B22" s="3" t="s">
        <v>11</v>
      </c>
      <c r="C22" s="3" t="s">
        <v>95</v>
      </c>
      <c r="D22" s="3" t="s">
        <v>96</v>
      </c>
      <c r="E22" s="3" t="s">
        <v>97</v>
      </c>
      <c r="F22" s="3" t="s">
        <v>98</v>
      </c>
      <c r="G22" s="4" t="s">
        <v>16</v>
      </c>
      <c r="H22" s="5" t="s">
        <v>16</v>
      </c>
      <c r="I22" s="3" t="s">
        <v>16</v>
      </c>
      <c r="J22" s="3" t="s">
        <v>16</v>
      </c>
    </row>
    <row r="23" spans="1:10" x14ac:dyDescent="0.25">
      <c r="A23" s="2" t="s">
        <v>99</v>
      </c>
      <c r="B23" s="3" t="s">
        <v>11</v>
      </c>
      <c r="C23" s="3" t="s">
        <v>95</v>
      </c>
      <c r="D23" s="3" t="s">
        <v>100</v>
      </c>
      <c r="E23" s="3" t="s">
        <v>101</v>
      </c>
      <c r="F23" s="3" t="s">
        <v>102</v>
      </c>
      <c r="G23" s="4" t="s">
        <v>16</v>
      </c>
      <c r="H23" s="5" t="s">
        <v>16</v>
      </c>
      <c r="I23" s="3" t="s">
        <v>16</v>
      </c>
      <c r="J23" s="3" t="s">
        <v>16</v>
      </c>
    </row>
    <row r="24" spans="1:10" x14ac:dyDescent="0.25">
      <c r="A24" s="2" t="s">
        <v>103</v>
      </c>
      <c r="B24" s="3" t="s">
        <v>11</v>
      </c>
      <c r="C24" s="3" t="s">
        <v>95</v>
      </c>
      <c r="D24" s="3" t="s">
        <v>104</v>
      </c>
      <c r="E24" s="3" t="s">
        <v>105</v>
      </c>
      <c r="F24" s="3" t="s">
        <v>106</v>
      </c>
      <c r="G24" s="4" t="s">
        <v>16</v>
      </c>
      <c r="H24" s="5" t="s">
        <v>16</v>
      </c>
      <c r="I24" s="3" t="s">
        <v>16</v>
      </c>
      <c r="J24" s="3" t="s">
        <v>16</v>
      </c>
    </row>
    <row r="25" spans="1:10" x14ac:dyDescent="0.25">
      <c r="A25" s="2" t="s">
        <v>107</v>
      </c>
      <c r="B25" s="3" t="s">
        <v>11</v>
      </c>
      <c r="C25" s="3" t="s">
        <v>95</v>
      </c>
      <c r="D25" s="3" t="s">
        <v>108</v>
      </c>
      <c r="E25" s="3" t="s">
        <v>109</v>
      </c>
      <c r="F25" s="3" t="s">
        <v>110</v>
      </c>
      <c r="G25" s="4" t="s">
        <v>16</v>
      </c>
      <c r="H25" s="5" t="s">
        <v>16</v>
      </c>
      <c r="I25" s="3" t="s">
        <v>16</v>
      </c>
      <c r="J25" s="3" t="s">
        <v>16</v>
      </c>
    </row>
    <row r="26" spans="1:10" x14ac:dyDescent="0.25">
      <c r="A26" s="2" t="s">
        <v>111</v>
      </c>
      <c r="B26" s="3" t="s">
        <v>112</v>
      </c>
      <c r="C26" s="3" t="s">
        <v>113</v>
      </c>
      <c r="D26" s="3" t="s">
        <v>114</v>
      </c>
      <c r="E26" s="3" t="s">
        <v>115</v>
      </c>
      <c r="F26" s="3" t="s">
        <v>116</v>
      </c>
      <c r="G26" s="4" t="s">
        <v>16</v>
      </c>
      <c r="H26" s="5" t="s">
        <v>16</v>
      </c>
      <c r="I26" s="3" t="s">
        <v>16</v>
      </c>
      <c r="J26" s="3" t="s">
        <v>16</v>
      </c>
    </row>
    <row r="27" spans="1:10" x14ac:dyDescent="0.25">
      <c r="A27" s="2" t="s">
        <v>117</v>
      </c>
      <c r="B27" s="3" t="s">
        <v>112</v>
      </c>
      <c r="C27" s="3" t="s">
        <v>113</v>
      </c>
      <c r="D27" s="3" t="s">
        <v>118</v>
      </c>
      <c r="E27" s="3" t="s">
        <v>119</v>
      </c>
      <c r="F27" s="3" t="s">
        <v>120</v>
      </c>
      <c r="G27" s="4" t="s">
        <v>16</v>
      </c>
      <c r="H27" s="5" t="s">
        <v>16</v>
      </c>
      <c r="I27" s="3" t="s">
        <v>16</v>
      </c>
      <c r="J27" s="3" t="s">
        <v>16</v>
      </c>
    </row>
    <row r="28" spans="1:10" x14ac:dyDescent="0.25">
      <c r="A28" s="2" t="s">
        <v>121</v>
      </c>
      <c r="B28" s="3" t="s">
        <v>112</v>
      </c>
      <c r="C28" s="3" t="s">
        <v>113</v>
      </c>
      <c r="D28" s="3" t="s">
        <v>122</v>
      </c>
      <c r="E28" s="3" t="s">
        <v>123</v>
      </c>
      <c r="F28" s="3" t="s">
        <v>124</v>
      </c>
      <c r="G28" s="4" t="s">
        <v>16</v>
      </c>
      <c r="H28" s="5" t="s">
        <v>16</v>
      </c>
      <c r="I28" s="3" t="s">
        <v>16</v>
      </c>
      <c r="J28" s="3" t="s">
        <v>16</v>
      </c>
    </row>
    <row r="29" spans="1:10" x14ac:dyDescent="0.25">
      <c r="A29" s="2" t="s">
        <v>125</v>
      </c>
      <c r="B29" s="3" t="s">
        <v>112</v>
      </c>
      <c r="C29" s="3" t="s">
        <v>113</v>
      </c>
      <c r="D29" s="3" t="s">
        <v>126</v>
      </c>
      <c r="E29" s="3" t="s">
        <v>127</v>
      </c>
      <c r="F29" s="3" t="s">
        <v>128</v>
      </c>
      <c r="G29" s="4" t="s">
        <v>16</v>
      </c>
      <c r="H29" s="5" t="s">
        <v>16</v>
      </c>
      <c r="I29" s="3" t="s">
        <v>16</v>
      </c>
      <c r="J29" s="3" t="s">
        <v>16</v>
      </c>
    </row>
    <row r="30" spans="1:10" x14ac:dyDescent="0.25">
      <c r="A30" s="2" t="s">
        <v>129</v>
      </c>
      <c r="B30" s="3" t="s">
        <v>112</v>
      </c>
      <c r="C30" s="3" t="s">
        <v>113</v>
      </c>
      <c r="D30" s="3" t="s">
        <v>130</v>
      </c>
      <c r="E30" s="3" t="s">
        <v>131</v>
      </c>
      <c r="F30" s="3" t="s">
        <v>132</v>
      </c>
      <c r="G30" s="4" t="s">
        <v>16</v>
      </c>
      <c r="H30" s="5" t="s">
        <v>16</v>
      </c>
      <c r="I30" s="3" t="s">
        <v>16</v>
      </c>
      <c r="J30" s="3" t="s">
        <v>16</v>
      </c>
    </row>
    <row r="31" spans="1:10" x14ac:dyDescent="0.25">
      <c r="A31" s="2" t="s">
        <v>133</v>
      </c>
      <c r="B31" s="3" t="s">
        <v>112</v>
      </c>
      <c r="C31" s="3" t="s">
        <v>113</v>
      </c>
      <c r="D31" s="3" t="s">
        <v>134</v>
      </c>
      <c r="E31" s="3" t="s">
        <v>135</v>
      </c>
      <c r="F31" s="3" t="s">
        <v>136</v>
      </c>
      <c r="G31" s="4" t="s">
        <v>16</v>
      </c>
      <c r="H31" s="5" t="s">
        <v>16</v>
      </c>
      <c r="I31" s="3" t="s">
        <v>16</v>
      </c>
      <c r="J31" s="3" t="s">
        <v>16</v>
      </c>
    </row>
    <row r="32" spans="1:10" x14ac:dyDescent="0.25">
      <c r="A32" s="2" t="s">
        <v>137</v>
      </c>
      <c r="B32" s="3" t="s">
        <v>112</v>
      </c>
      <c r="C32" s="3" t="s">
        <v>113</v>
      </c>
      <c r="D32" s="3" t="s">
        <v>138</v>
      </c>
      <c r="E32" s="3" t="s">
        <v>139</v>
      </c>
      <c r="F32" s="3" t="s">
        <v>140</v>
      </c>
      <c r="G32" s="4" t="s">
        <v>16</v>
      </c>
      <c r="H32" s="5" t="s">
        <v>16</v>
      </c>
      <c r="I32" s="3" t="s">
        <v>16</v>
      </c>
      <c r="J32" s="3" t="s">
        <v>16</v>
      </c>
    </row>
    <row r="33" spans="1:10" x14ac:dyDescent="0.25">
      <c r="A33" s="2" t="s">
        <v>141</v>
      </c>
      <c r="B33" s="3" t="s">
        <v>112</v>
      </c>
      <c r="C33" s="3" t="s">
        <v>113</v>
      </c>
      <c r="D33" s="3" t="s">
        <v>142</v>
      </c>
      <c r="E33" s="3" t="s">
        <v>143</v>
      </c>
      <c r="F33" s="3" t="s">
        <v>144</v>
      </c>
      <c r="G33" s="4" t="s">
        <v>16</v>
      </c>
      <c r="H33" s="5" t="s">
        <v>16</v>
      </c>
      <c r="I33" s="3" t="s">
        <v>16</v>
      </c>
      <c r="J33" s="3" t="s">
        <v>16</v>
      </c>
    </row>
    <row r="34" spans="1:10" x14ac:dyDescent="0.25">
      <c r="A34" s="2" t="s">
        <v>145</v>
      </c>
      <c r="B34" s="3" t="s">
        <v>112</v>
      </c>
      <c r="C34" s="3" t="s">
        <v>113</v>
      </c>
      <c r="D34" s="3" t="s">
        <v>146</v>
      </c>
      <c r="E34" s="3" t="s">
        <v>147</v>
      </c>
      <c r="F34" s="3" t="s">
        <v>148</v>
      </c>
      <c r="G34" s="4" t="s">
        <v>16</v>
      </c>
      <c r="H34" s="5" t="s">
        <v>16</v>
      </c>
      <c r="I34" s="3" t="s">
        <v>16</v>
      </c>
      <c r="J34" s="3" t="s">
        <v>16</v>
      </c>
    </row>
    <row r="35" spans="1:10" x14ac:dyDescent="0.25">
      <c r="A35" s="2" t="s">
        <v>149</v>
      </c>
      <c r="B35" s="3" t="s">
        <v>112</v>
      </c>
      <c r="C35" s="3" t="s">
        <v>113</v>
      </c>
      <c r="D35" s="3" t="s">
        <v>150</v>
      </c>
      <c r="E35" s="3" t="s">
        <v>151</v>
      </c>
      <c r="F35" s="3" t="s">
        <v>152</v>
      </c>
      <c r="G35" s="4" t="s">
        <v>16</v>
      </c>
      <c r="H35" s="5" t="s">
        <v>16</v>
      </c>
      <c r="I35" s="3" t="s">
        <v>16</v>
      </c>
      <c r="J35" s="3" t="s">
        <v>16</v>
      </c>
    </row>
    <row r="36" spans="1:10" x14ac:dyDescent="0.25">
      <c r="A36" s="2" t="s">
        <v>153</v>
      </c>
      <c r="B36" s="3" t="s">
        <v>112</v>
      </c>
      <c r="C36" s="3" t="s">
        <v>154</v>
      </c>
      <c r="D36" s="3" t="s">
        <v>155</v>
      </c>
      <c r="E36" s="3" t="s">
        <v>156</v>
      </c>
      <c r="F36" s="3" t="s">
        <v>157</v>
      </c>
      <c r="G36" s="4" t="s">
        <v>16</v>
      </c>
      <c r="H36" s="5" t="s">
        <v>16</v>
      </c>
      <c r="I36" s="3" t="s">
        <v>16</v>
      </c>
      <c r="J36" s="3" t="s">
        <v>16</v>
      </c>
    </row>
    <row r="37" spans="1:10" x14ac:dyDescent="0.25">
      <c r="A37" s="2" t="s">
        <v>158</v>
      </c>
      <c r="B37" s="3" t="s">
        <v>112</v>
      </c>
      <c r="C37" s="3" t="s">
        <v>154</v>
      </c>
      <c r="D37" s="3" t="s">
        <v>159</v>
      </c>
      <c r="E37" s="3" t="s">
        <v>160</v>
      </c>
      <c r="F37" s="3" t="s">
        <v>161</v>
      </c>
      <c r="G37" s="4" t="s">
        <v>16</v>
      </c>
      <c r="H37" s="5" t="s">
        <v>16</v>
      </c>
      <c r="I37" s="3" t="s">
        <v>16</v>
      </c>
      <c r="J37" s="3" t="s">
        <v>16</v>
      </c>
    </row>
    <row r="38" spans="1:10" x14ac:dyDescent="0.25">
      <c r="A38" s="2" t="s">
        <v>162</v>
      </c>
      <c r="B38" s="3" t="s">
        <v>112</v>
      </c>
      <c r="C38" s="3" t="s">
        <v>154</v>
      </c>
      <c r="D38" s="3" t="s">
        <v>163</v>
      </c>
      <c r="E38" s="3" t="s">
        <v>164</v>
      </c>
      <c r="F38" s="3" t="s">
        <v>165</v>
      </c>
      <c r="G38" s="4" t="s">
        <v>16</v>
      </c>
      <c r="H38" s="5" t="s">
        <v>16</v>
      </c>
      <c r="I38" s="3" t="s">
        <v>16</v>
      </c>
      <c r="J38" s="3" t="s">
        <v>16</v>
      </c>
    </row>
    <row r="39" spans="1:10" x14ac:dyDescent="0.25">
      <c r="A39" s="2" t="s">
        <v>166</v>
      </c>
      <c r="B39" s="3" t="s">
        <v>112</v>
      </c>
      <c r="C39" s="3" t="s">
        <v>154</v>
      </c>
      <c r="D39" s="3" t="s">
        <v>167</v>
      </c>
      <c r="E39" s="3" t="s">
        <v>168</v>
      </c>
      <c r="F39" s="3" t="s">
        <v>169</v>
      </c>
      <c r="G39" s="4" t="s">
        <v>16</v>
      </c>
      <c r="H39" s="5" t="s">
        <v>16</v>
      </c>
      <c r="I39" s="3" t="s">
        <v>16</v>
      </c>
      <c r="J39" s="3" t="s">
        <v>16</v>
      </c>
    </row>
    <row r="40" spans="1:10" x14ac:dyDescent="0.25">
      <c r="A40" s="2" t="s">
        <v>170</v>
      </c>
      <c r="B40" s="3" t="s">
        <v>112</v>
      </c>
      <c r="C40" s="3" t="s">
        <v>154</v>
      </c>
      <c r="D40" s="3" t="s">
        <v>171</v>
      </c>
      <c r="E40" s="3" t="s">
        <v>172</v>
      </c>
      <c r="F40" s="3" t="s">
        <v>173</v>
      </c>
      <c r="G40" s="4" t="s">
        <v>16</v>
      </c>
      <c r="H40" s="5" t="s">
        <v>16</v>
      </c>
      <c r="I40" s="3" t="s">
        <v>16</v>
      </c>
      <c r="J40" s="3" t="s">
        <v>16</v>
      </c>
    </row>
    <row r="41" spans="1:10" x14ac:dyDescent="0.25">
      <c r="A41" s="2" t="s">
        <v>174</v>
      </c>
      <c r="B41" s="3" t="s">
        <v>112</v>
      </c>
      <c r="C41" s="3" t="s">
        <v>154</v>
      </c>
      <c r="D41" s="3" t="s">
        <v>175</v>
      </c>
      <c r="E41" s="3" t="s">
        <v>176</v>
      </c>
      <c r="F41" s="3" t="s">
        <v>177</v>
      </c>
      <c r="G41" s="4" t="s">
        <v>16</v>
      </c>
      <c r="H41" s="5" t="s">
        <v>16</v>
      </c>
      <c r="I41" s="3" t="s">
        <v>16</v>
      </c>
      <c r="J41" s="3" t="s">
        <v>16</v>
      </c>
    </row>
    <row r="42" spans="1:10" x14ac:dyDescent="0.25">
      <c r="A42" s="2" t="s">
        <v>178</v>
      </c>
      <c r="B42" s="3" t="s">
        <v>112</v>
      </c>
      <c r="C42" s="3" t="s">
        <v>179</v>
      </c>
      <c r="D42" s="3" t="s">
        <v>180</v>
      </c>
      <c r="E42" s="3" t="s">
        <v>181</v>
      </c>
      <c r="F42" s="3" t="s">
        <v>182</v>
      </c>
      <c r="G42" s="4" t="s">
        <v>16</v>
      </c>
      <c r="H42" s="5" t="s">
        <v>16</v>
      </c>
      <c r="I42" s="3" t="s">
        <v>16</v>
      </c>
      <c r="J42" s="3" t="s">
        <v>16</v>
      </c>
    </row>
    <row r="43" spans="1:10" x14ac:dyDescent="0.25">
      <c r="A43" s="2" t="s">
        <v>183</v>
      </c>
      <c r="B43" s="3" t="s">
        <v>112</v>
      </c>
      <c r="C43" s="3" t="s">
        <v>179</v>
      </c>
      <c r="D43" s="3" t="s">
        <v>184</v>
      </c>
      <c r="E43" s="3" t="s">
        <v>185</v>
      </c>
      <c r="F43" s="3" t="s">
        <v>186</v>
      </c>
      <c r="G43" s="4" t="s">
        <v>16</v>
      </c>
      <c r="H43" s="5" t="s">
        <v>16</v>
      </c>
      <c r="I43" s="3" t="s">
        <v>16</v>
      </c>
      <c r="J43" s="3" t="s">
        <v>16</v>
      </c>
    </row>
    <row r="44" spans="1:10" x14ac:dyDescent="0.25">
      <c r="A44" s="2" t="s">
        <v>187</v>
      </c>
      <c r="B44" s="3" t="s">
        <v>112</v>
      </c>
      <c r="C44" s="3" t="s">
        <v>179</v>
      </c>
      <c r="D44" s="3" t="s">
        <v>188</v>
      </c>
      <c r="E44" s="3" t="s">
        <v>189</v>
      </c>
      <c r="F44" s="3" t="s">
        <v>190</v>
      </c>
      <c r="G44" s="4" t="s">
        <v>16</v>
      </c>
      <c r="H44" s="5" t="s">
        <v>16</v>
      </c>
      <c r="I44" s="3" t="s">
        <v>16</v>
      </c>
      <c r="J44" s="3" t="s">
        <v>16</v>
      </c>
    </row>
    <row r="45" spans="1:10" x14ac:dyDescent="0.25">
      <c r="A45" s="2" t="s">
        <v>191</v>
      </c>
      <c r="B45" s="3" t="s">
        <v>112</v>
      </c>
      <c r="C45" s="3" t="s">
        <v>179</v>
      </c>
      <c r="D45" s="3" t="s">
        <v>192</v>
      </c>
      <c r="E45" s="3" t="s">
        <v>193</v>
      </c>
      <c r="F45" s="3" t="s">
        <v>194</v>
      </c>
      <c r="G45" s="4" t="s">
        <v>16</v>
      </c>
      <c r="H45" s="5" t="s">
        <v>16</v>
      </c>
      <c r="I45" s="3" t="s">
        <v>16</v>
      </c>
      <c r="J45" s="3" t="s">
        <v>16</v>
      </c>
    </row>
    <row r="46" spans="1:10" x14ac:dyDescent="0.25">
      <c r="A46" s="2" t="s">
        <v>195</v>
      </c>
      <c r="B46" s="3" t="s">
        <v>112</v>
      </c>
      <c r="C46" s="3" t="s">
        <v>179</v>
      </c>
      <c r="D46" s="3" t="s">
        <v>196</v>
      </c>
      <c r="E46" s="3" t="s">
        <v>197</v>
      </c>
      <c r="F46" s="3" t="s">
        <v>198</v>
      </c>
      <c r="G46" s="4" t="s">
        <v>16</v>
      </c>
      <c r="H46" s="5" t="s">
        <v>16</v>
      </c>
      <c r="I46" s="3" t="s">
        <v>16</v>
      </c>
      <c r="J46" s="3" t="s">
        <v>16</v>
      </c>
    </row>
    <row r="47" spans="1:10" x14ac:dyDescent="0.25">
      <c r="A47" s="2" t="s">
        <v>199</v>
      </c>
      <c r="B47" s="3" t="s">
        <v>112</v>
      </c>
      <c r="C47" s="3" t="s">
        <v>179</v>
      </c>
      <c r="D47" s="3" t="s">
        <v>200</v>
      </c>
      <c r="E47" s="3" t="s">
        <v>201</v>
      </c>
      <c r="F47" s="3" t="s">
        <v>202</v>
      </c>
      <c r="G47" s="4" t="s">
        <v>16</v>
      </c>
      <c r="H47" s="5" t="s">
        <v>16</v>
      </c>
      <c r="I47" s="3" t="s">
        <v>16</v>
      </c>
      <c r="J47" s="3" t="s">
        <v>16</v>
      </c>
    </row>
    <row r="48" spans="1:10" x14ac:dyDescent="0.25">
      <c r="A48" s="2" t="s">
        <v>203</v>
      </c>
      <c r="B48" s="3" t="s">
        <v>112</v>
      </c>
      <c r="C48" s="3" t="s">
        <v>179</v>
      </c>
      <c r="D48" s="3" t="s">
        <v>204</v>
      </c>
      <c r="E48" s="3" t="s">
        <v>205</v>
      </c>
      <c r="F48" s="3" t="s">
        <v>206</v>
      </c>
      <c r="G48" s="4" t="s">
        <v>16</v>
      </c>
      <c r="H48" s="5" t="s">
        <v>16</v>
      </c>
      <c r="I48" s="3" t="s">
        <v>16</v>
      </c>
      <c r="J48" s="3" t="s">
        <v>16</v>
      </c>
    </row>
    <row r="49" spans="1:10" x14ac:dyDescent="0.25">
      <c r="A49" s="2" t="s">
        <v>207</v>
      </c>
      <c r="B49" s="3" t="s">
        <v>112</v>
      </c>
      <c r="C49" s="3" t="s">
        <v>179</v>
      </c>
      <c r="D49" s="3" t="s">
        <v>208</v>
      </c>
      <c r="E49" s="3" t="s">
        <v>209</v>
      </c>
      <c r="F49" s="3" t="s">
        <v>210</v>
      </c>
      <c r="G49" s="4" t="s">
        <v>16</v>
      </c>
      <c r="H49" s="5" t="s">
        <v>16</v>
      </c>
      <c r="I49" s="3" t="s">
        <v>16</v>
      </c>
      <c r="J49" s="3" t="s">
        <v>16</v>
      </c>
    </row>
    <row r="50" spans="1:10" x14ac:dyDescent="0.25">
      <c r="A50" s="2" t="s">
        <v>211</v>
      </c>
      <c r="B50" s="3" t="s">
        <v>112</v>
      </c>
      <c r="C50" s="3" t="s">
        <v>179</v>
      </c>
      <c r="D50" s="3" t="s">
        <v>212</v>
      </c>
      <c r="E50" s="3" t="s">
        <v>213</v>
      </c>
      <c r="F50" s="3" t="s">
        <v>214</v>
      </c>
      <c r="G50" s="4" t="s">
        <v>16</v>
      </c>
      <c r="H50" s="5" t="s">
        <v>16</v>
      </c>
      <c r="I50" s="3" t="s">
        <v>16</v>
      </c>
      <c r="J50" s="3" t="s">
        <v>16</v>
      </c>
    </row>
    <row r="51" spans="1:10" x14ac:dyDescent="0.25">
      <c r="A51" s="2" t="s">
        <v>215</v>
      </c>
      <c r="B51" s="3" t="s">
        <v>112</v>
      </c>
      <c r="C51" s="3" t="s">
        <v>179</v>
      </c>
      <c r="D51" s="3" t="s">
        <v>216</v>
      </c>
      <c r="E51" s="3" t="s">
        <v>217</v>
      </c>
      <c r="F51" s="3" t="s">
        <v>173</v>
      </c>
      <c r="G51" s="4" t="s">
        <v>16</v>
      </c>
      <c r="H51" s="5" t="s">
        <v>16</v>
      </c>
      <c r="I51" s="3" t="s">
        <v>16</v>
      </c>
      <c r="J51" s="3" t="s">
        <v>16</v>
      </c>
    </row>
    <row r="52" spans="1:10" x14ac:dyDescent="0.25">
      <c r="A52" s="2" t="s">
        <v>218</v>
      </c>
      <c r="B52" s="3" t="s">
        <v>112</v>
      </c>
      <c r="C52" s="3" t="s">
        <v>219</v>
      </c>
      <c r="D52" s="3" t="s">
        <v>220</v>
      </c>
      <c r="E52" s="3" t="s">
        <v>221</v>
      </c>
      <c r="F52" s="3" t="s">
        <v>222</v>
      </c>
      <c r="G52" s="4" t="s">
        <v>16</v>
      </c>
      <c r="H52" s="5" t="s">
        <v>16</v>
      </c>
      <c r="I52" s="3" t="s">
        <v>16</v>
      </c>
      <c r="J52" s="3" t="s">
        <v>16</v>
      </c>
    </row>
    <row r="53" spans="1:10" x14ac:dyDescent="0.25">
      <c r="A53" s="2" t="s">
        <v>223</v>
      </c>
      <c r="B53" s="3" t="s">
        <v>112</v>
      </c>
      <c r="C53" s="3" t="s">
        <v>219</v>
      </c>
      <c r="D53" s="3" t="s">
        <v>224</v>
      </c>
      <c r="E53" s="3" t="s">
        <v>225</v>
      </c>
      <c r="F53" s="3" t="s">
        <v>226</v>
      </c>
      <c r="G53" s="4" t="s">
        <v>16</v>
      </c>
      <c r="H53" s="5" t="s">
        <v>16</v>
      </c>
      <c r="I53" s="3" t="s">
        <v>16</v>
      </c>
      <c r="J53" s="3" t="s">
        <v>16</v>
      </c>
    </row>
    <row r="54" spans="1:10" x14ac:dyDescent="0.25">
      <c r="A54" s="2" t="s">
        <v>227</v>
      </c>
      <c r="B54" s="3" t="s">
        <v>112</v>
      </c>
      <c r="C54" s="3" t="s">
        <v>219</v>
      </c>
      <c r="D54" s="3" t="s">
        <v>228</v>
      </c>
      <c r="E54" s="3" t="s">
        <v>229</v>
      </c>
      <c r="F54" s="3" t="s">
        <v>230</v>
      </c>
      <c r="G54" s="4" t="s">
        <v>16</v>
      </c>
      <c r="H54" s="5" t="s">
        <v>16</v>
      </c>
      <c r="I54" s="3" t="s">
        <v>16</v>
      </c>
      <c r="J54" s="3" t="s">
        <v>16</v>
      </c>
    </row>
    <row r="55" spans="1:10" x14ac:dyDescent="0.25">
      <c r="A55" s="2" t="s">
        <v>231</v>
      </c>
      <c r="B55" s="3" t="s">
        <v>112</v>
      </c>
      <c r="C55" s="3" t="s">
        <v>219</v>
      </c>
      <c r="D55" s="3" t="s">
        <v>232</v>
      </c>
      <c r="E55" s="3" t="s">
        <v>233</v>
      </c>
      <c r="F55" s="3" t="s">
        <v>234</v>
      </c>
      <c r="G55" s="4" t="s">
        <v>16</v>
      </c>
      <c r="H55" s="5" t="s">
        <v>16</v>
      </c>
      <c r="I55" s="3" t="s">
        <v>16</v>
      </c>
      <c r="J55" s="3" t="s">
        <v>16</v>
      </c>
    </row>
    <row r="56" spans="1:10" x14ac:dyDescent="0.25">
      <c r="A56" s="2" t="s">
        <v>235</v>
      </c>
      <c r="B56" s="3" t="s">
        <v>112</v>
      </c>
      <c r="C56" s="3" t="s">
        <v>219</v>
      </c>
      <c r="D56" s="3" t="s">
        <v>236</v>
      </c>
      <c r="E56" s="3" t="s">
        <v>237</v>
      </c>
      <c r="F56" s="3" t="s">
        <v>238</v>
      </c>
      <c r="G56" s="4" t="s">
        <v>16</v>
      </c>
      <c r="H56" s="5" t="s">
        <v>16</v>
      </c>
      <c r="I56" s="3" t="s">
        <v>16</v>
      </c>
      <c r="J56" s="3" t="s">
        <v>16</v>
      </c>
    </row>
    <row r="57" spans="1:10" x14ac:dyDescent="0.25">
      <c r="A57" s="2" t="s">
        <v>239</v>
      </c>
      <c r="B57" s="3" t="s">
        <v>112</v>
      </c>
      <c r="C57" s="3" t="s">
        <v>240</v>
      </c>
      <c r="D57" s="3" t="s">
        <v>241</v>
      </c>
      <c r="E57" s="3" t="s">
        <v>242</v>
      </c>
      <c r="F57" s="3" t="s">
        <v>243</v>
      </c>
      <c r="G57" s="4" t="s">
        <v>16</v>
      </c>
      <c r="H57" s="5" t="s">
        <v>16</v>
      </c>
      <c r="I57" s="3" t="s">
        <v>16</v>
      </c>
      <c r="J57" s="3" t="s">
        <v>16</v>
      </c>
    </row>
    <row r="58" spans="1:10" x14ac:dyDescent="0.25">
      <c r="A58" s="2" t="s">
        <v>244</v>
      </c>
      <c r="B58" s="3" t="s">
        <v>112</v>
      </c>
      <c r="C58" s="3" t="s">
        <v>240</v>
      </c>
      <c r="D58" s="3" t="s">
        <v>245</v>
      </c>
      <c r="E58" s="3" t="s">
        <v>246</v>
      </c>
      <c r="F58" s="3" t="s">
        <v>247</v>
      </c>
      <c r="G58" s="4" t="s">
        <v>16</v>
      </c>
      <c r="H58" s="5" t="s">
        <v>16</v>
      </c>
      <c r="I58" s="3" t="s">
        <v>16</v>
      </c>
      <c r="J58" s="3" t="s">
        <v>16</v>
      </c>
    </row>
    <row r="59" spans="1:10" x14ac:dyDescent="0.25">
      <c r="A59" s="2" t="s">
        <v>248</v>
      </c>
      <c r="B59" s="3" t="s">
        <v>112</v>
      </c>
      <c r="C59" s="3" t="s">
        <v>240</v>
      </c>
      <c r="D59" s="3" t="s">
        <v>249</v>
      </c>
      <c r="E59" s="3" t="s">
        <v>250</v>
      </c>
      <c r="F59" s="3" t="s">
        <v>251</v>
      </c>
      <c r="G59" s="4" t="s">
        <v>16</v>
      </c>
      <c r="H59" s="5" t="s">
        <v>16</v>
      </c>
      <c r="I59" s="3" t="s">
        <v>16</v>
      </c>
      <c r="J59" s="3" t="s">
        <v>16</v>
      </c>
    </row>
    <row r="60" spans="1:10" x14ac:dyDescent="0.25">
      <c r="A60" s="2" t="s">
        <v>252</v>
      </c>
      <c r="B60" s="3" t="s">
        <v>112</v>
      </c>
      <c r="C60" s="3" t="s">
        <v>240</v>
      </c>
      <c r="D60" s="3" t="s">
        <v>253</v>
      </c>
      <c r="E60" s="3" t="s">
        <v>254</v>
      </c>
      <c r="F60" s="3" t="s">
        <v>37</v>
      </c>
      <c r="G60" s="4" t="s">
        <v>16</v>
      </c>
      <c r="H60" s="5" t="s">
        <v>16</v>
      </c>
      <c r="I60" s="3" t="s">
        <v>16</v>
      </c>
      <c r="J60" s="3" t="s">
        <v>16</v>
      </c>
    </row>
    <row r="61" spans="1:10" x14ac:dyDescent="0.25">
      <c r="A61" s="2" t="s">
        <v>255</v>
      </c>
      <c r="B61" s="3" t="s">
        <v>112</v>
      </c>
      <c r="C61" s="3" t="s">
        <v>240</v>
      </c>
      <c r="D61" s="3" t="s">
        <v>256</v>
      </c>
      <c r="E61" s="3" t="s">
        <v>257</v>
      </c>
      <c r="F61" s="3" t="s">
        <v>258</v>
      </c>
      <c r="G61" s="4" t="s">
        <v>16</v>
      </c>
      <c r="H61" s="5" t="s">
        <v>16</v>
      </c>
      <c r="I61" s="3" t="s">
        <v>16</v>
      </c>
      <c r="J61" s="3" t="s">
        <v>16</v>
      </c>
    </row>
    <row r="62" spans="1:10" x14ac:dyDescent="0.25">
      <c r="A62" s="2" t="s">
        <v>259</v>
      </c>
      <c r="B62" s="3" t="s">
        <v>112</v>
      </c>
      <c r="C62" s="3" t="s">
        <v>240</v>
      </c>
      <c r="D62" s="3" t="s">
        <v>260</v>
      </c>
      <c r="E62" s="3" t="s">
        <v>261</v>
      </c>
      <c r="F62" s="3" t="s">
        <v>262</v>
      </c>
      <c r="G62" s="4" t="s">
        <v>16</v>
      </c>
      <c r="H62" s="5" t="s">
        <v>16</v>
      </c>
      <c r="I62" s="3" t="s">
        <v>16</v>
      </c>
      <c r="J62" s="3" t="s">
        <v>16</v>
      </c>
    </row>
    <row r="63" spans="1:10" x14ac:dyDescent="0.25">
      <c r="A63" s="2" t="s">
        <v>263</v>
      </c>
      <c r="B63" s="3" t="s">
        <v>112</v>
      </c>
      <c r="C63" s="3" t="s">
        <v>240</v>
      </c>
      <c r="D63" s="3" t="s">
        <v>264</v>
      </c>
      <c r="E63" s="3" t="s">
        <v>265</v>
      </c>
      <c r="F63" s="3" t="s">
        <v>266</v>
      </c>
      <c r="G63" s="4" t="s">
        <v>16</v>
      </c>
      <c r="H63" s="5" t="s">
        <v>16</v>
      </c>
      <c r="I63" s="3" t="s">
        <v>16</v>
      </c>
      <c r="J63" s="3" t="s">
        <v>16</v>
      </c>
    </row>
    <row r="64" spans="1:10" x14ac:dyDescent="0.25">
      <c r="A64" s="2" t="s">
        <v>267</v>
      </c>
      <c r="B64" s="3" t="s">
        <v>112</v>
      </c>
      <c r="C64" s="3" t="s">
        <v>240</v>
      </c>
      <c r="D64" s="3" t="s">
        <v>268</v>
      </c>
      <c r="E64" s="3" t="s">
        <v>269</v>
      </c>
      <c r="F64" s="3" t="s">
        <v>270</v>
      </c>
      <c r="G64" s="4" t="s">
        <v>16</v>
      </c>
      <c r="H64" s="5" t="s">
        <v>16</v>
      </c>
      <c r="I64" s="3" t="s">
        <v>16</v>
      </c>
      <c r="J64" s="3" t="s">
        <v>16</v>
      </c>
    </row>
    <row r="65" spans="1:10" x14ac:dyDescent="0.25">
      <c r="A65" s="2" t="s">
        <v>271</v>
      </c>
      <c r="B65" s="3" t="s">
        <v>112</v>
      </c>
      <c r="C65" s="3" t="s">
        <v>272</v>
      </c>
      <c r="D65" s="3" t="s">
        <v>273</v>
      </c>
      <c r="E65" s="3" t="s">
        <v>274</v>
      </c>
      <c r="F65" s="3" t="s">
        <v>275</v>
      </c>
      <c r="G65" s="4" t="s">
        <v>16</v>
      </c>
      <c r="H65" s="5" t="s">
        <v>16</v>
      </c>
      <c r="I65" s="3" t="s">
        <v>16</v>
      </c>
      <c r="J65" s="3" t="s">
        <v>16</v>
      </c>
    </row>
    <row r="66" spans="1:10" x14ac:dyDescent="0.25">
      <c r="A66" s="2" t="s">
        <v>276</v>
      </c>
      <c r="B66" s="3" t="s">
        <v>112</v>
      </c>
      <c r="C66" s="3" t="s">
        <v>272</v>
      </c>
      <c r="D66" s="3" t="s">
        <v>277</v>
      </c>
      <c r="E66" s="3" t="s">
        <v>278</v>
      </c>
      <c r="F66" s="3" t="s">
        <v>275</v>
      </c>
      <c r="G66" s="4" t="s">
        <v>16</v>
      </c>
      <c r="H66" s="5" t="s">
        <v>16</v>
      </c>
      <c r="I66" s="3" t="s">
        <v>16</v>
      </c>
      <c r="J66" s="3" t="s">
        <v>16</v>
      </c>
    </row>
    <row r="67" spans="1:10" x14ac:dyDescent="0.25">
      <c r="A67" s="2" t="s">
        <v>279</v>
      </c>
      <c r="B67" s="3" t="s">
        <v>112</v>
      </c>
      <c r="C67" s="3" t="s">
        <v>272</v>
      </c>
      <c r="D67" s="3" t="s">
        <v>280</v>
      </c>
      <c r="E67" s="3" t="s">
        <v>281</v>
      </c>
      <c r="F67" s="3" t="s">
        <v>282</v>
      </c>
      <c r="G67" s="4" t="s">
        <v>16</v>
      </c>
      <c r="H67" s="5" t="s">
        <v>16</v>
      </c>
      <c r="I67" s="3" t="s">
        <v>16</v>
      </c>
      <c r="J67" s="3" t="s">
        <v>16</v>
      </c>
    </row>
    <row r="68" spans="1:10" x14ac:dyDescent="0.25">
      <c r="A68" s="2" t="s">
        <v>283</v>
      </c>
      <c r="B68" s="3" t="s">
        <v>112</v>
      </c>
      <c r="C68" s="3" t="s">
        <v>272</v>
      </c>
      <c r="D68" s="3" t="s">
        <v>284</v>
      </c>
      <c r="E68" s="3" t="s">
        <v>285</v>
      </c>
      <c r="F68" s="3" t="s">
        <v>286</v>
      </c>
      <c r="G68" s="4" t="s">
        <v>16</v>
      </c>
      <c r="H68" s="5" t="s">
        <v>16</v>
      </c>
      <c r="I68" s="3" t="s">
        <v>16</v>
      </c>
      <c r="J68" s="3" t="s">
        <v>16</v>
      </c>
    </row>
    <row r="69" spans="1:10" x14ac:dyDescent="0.25">
      <c r="A69" s="2" t="s">
        <v>287</v>
      </c>
      <c r="B69" s="3" t="s">
        <v>112</v>
      </c>
      <c r="C69" s="3" t="s">
        <v>272</v>
      </c>
      <c r="D69" s="3" t="s">
        <v>288</v>
      </c>
      <c r="E69" s="3" t="s">
        <v>289</v>
      </c>
      <c r="F69" s="3" t="s">
        <v>290</v>
      </c>
      <c r="G69" s="4" t="s">
        <v>16</v>
      </c>
      <c r="H69" s="5" t="s">
        <v>16</v>
      </c>
      <c r="I69" s="3" t="s">
        <v>16</v>
      </c>
      <c r="J69" s="3" t="s">
        <v>16</v>
      </c>
    </row>
  </sheetData>
  <autoFilter ref="A1:J69"/>
  <conditionalFormatting sqref="A2:J69">
    <cfRule type="expression" dxfId="0" priority="1">
      <formula>$G2="×"</formula>
    </cfRule>
    <cfRule type="expression" dxfId="1" priority="2">
      <formula>$G2="○"</formula>
    </cfRule>
    <cfRule type="expression" dxfId="2" priority="3">
      <formula>$G2="－"</formula>
    </cfRule>
  </conditionalFormatting>
  <dataValidations count="2">
    <dataValidation type="list" allowBlank="1" showErrorMessage="1" errorStyle="warning" errorTitle="入力値が不正です" error="○（合格） / ×（不合格） / －（対象外・未実施）から選んでください。" sqref="G10:G69">
      <formula1>"○,×,－"</formula1>
    </dataValidation>
    <dataValidation type="list" allowBlank="1" showErrorMessage="1" errorStyle="warning" errorTitle="入力値が不正です" error="○（合格） / ×（不合格） / －（対象外・未実施）から選んでください。" sqref="G2:G69">
      <formula1>"○,×,－"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2" customWidth="1"/>
  </cols>
  <sheetData>
    <row r="1" spans="1:2" s="6" customFormat="1" x14ac:dyDescent="0.25">
      <c r="A1" s="7" t="s">
        <v>291</v>
      </c>
      <c r="B1" s="7" t="s">
        <v>292</v>
      </c>
    </row>
    <row r="2" spans="1:2" x14ac:dyDescent="0.25">
      <c r="A2" s="8" t="s">
        <v>293</v>
      </c>
      <c r="B2">
        <f>COUNTA('テストケース'!$A$2:$A$69)</f>
      </c>
    </row>
    <row r="3" spans="1:2" x14ac:dyDescent="0.25">
      <c r="A3" s="8" t="s">
        <v>294</v>
      </c>
      <c r="B3">
        <f>COUNTIF('テストケース'!$G$2:$G$69,"○")</f>
      </c>
    </row>
    <row r="4" spans="1:2" x14ac:dyDescent="0.25">
      <c r="A4" s="8" t="s">
        <v>295</v>
      </c>
      <c r="B4">
        <f>COUNTIF('テストケース'!$G$2:$G$69,"×")</f>
      </c>
    </row>
    <row r="5" spans="1:2" x14ac:dyDescent="0.25">
      <c r="A5" s="8" t="s">
        <v>296</v>
      </c>
      <c r="B5">
        <f>COUNTIF('テストケース'!$G$2:$G$69,"－")</f>
      </c>
    </row>
    <row r="6" spans="1:2" x14ac:dyDescent="0.25">
      <c r="A6" s="8" t="s">
        <v>297</v>
      </c>
      <c r="B6">
        <f>B2-B3-B4-B5</f>
      </c>
    </row>
    <row r="7" spans="1:2" x14ac:dyDescent="0.25">
      <c r="A7" s="8" t="s">
        <v>298</v>
      </c>
      <c r="B7" s="9">
        <f>IF(B2=0,0,(B3+B4+B5)/B2)</f>
      </c>
    </row>
    <row r="9" spans="1:2" s="10" customFormat="1" x14ac:dyDescent="0.25">
      <c r="A9" s="11" t="s">
        <v>299</v>
      </c>
      <c r="B9" s="12" t="s">
        <v>300</v>
      </c>
    </row>
    <row r="10" spans="1:2" x14ac:dyDescent="0.25">
      <c r="A10" s="8" t="s">
        <v>12</v>
      </c>
      <c r="B10" s="13">
        <f>COUNTIFS('テストケース'!$C$2:$C$69,$A10,'テストケース'!$G$2:$G$69,"○")&amp;" / 2"</f>
      </c>
    </row>
    <row r="11" spans="1:2" x14ac:dyDescent="0.25">
      <c r="A11" s="8" t="s">
        <v>22</v>
      </c>
      <c r="B11" s="13">
        <f>COUNTIFS('テストケース'!$C$2:$C$69,$A11,'テストケース'!$G$2:$G$69,"○")&amp;" / 8"</f>
      </c>
    </row>
    <row r="12" spans="1:2" x14ac:dyDescent="0.25">
      <c r="A12" s="8" t="s">
        <v>54</v>
      </c>
      <c r="B12" s="13">
        <f>COUNTIFS('テストケース'!$C$2:$C$69,$A12,'テストケース'!$G$2:$G$69,"○")&amp;" / 3"</f>
      </c>
    </row>
    <row r="13" spans="1:2" x14ac:dyDescent="0.25">
      <c r="A13" s="8" t="s">
        <v>67</v>
      </c>
      <c r="B13" s="13">
        <f>COUNTIFS('テストケース'!$C$2:$C$69,$A13,'テストケース'!$G$2:$G$69,"○")&amp;" / 7"</f>
      </c>
    </row>
    <row r="14" spans="1:2" x14ac:dyDescent="0.25">
      <c r="A14" s="8" t="s">
        <v>95</v>
      </c>
      <c r="B14" s="13">
        <f>COUNTIFS('テストケース'!$C$2:$C$69,$A14,'テストケース'!$G$2:$G$69,"○")&amp;" / 4"</f>
      </c>
    </row>
    <row r="15" spans="1:2" x14ac:dyDescent="0.25">
      <c r="A15" s="8" t="s">
        <v>113</v>
      </c>
      <c r="B15" s="13">
        <f>COUNTIFS('テストケース'!$C$2:$C$69,$A15,'テストケース'!$G$2:$G$69,"○")&amp;" / 10"</f>
      </c>
    </row>
    <row r="16" spans="1:2" x14ac:dyDescent="0.25">
      <c r="A16" s="8" t="s">
        <v>154</v>
      </c>
      <c r="B16" s="13">
        <f>COUNTIFS('テストケース'!$C$2:$C$69,$A16,'テストケース'!$G$2:$G$69,"○")&amp;" / 6"</f>
      </c>
    </row>
    <row r="17" spans="1:2" x14ac:dyDescent="0.25">
      <c r="A17" s="8" t="s">
        <v>179</v>
      </c>
      <c r="B17" s="13">
        <f>COUNTIFS('テストケース'!$C$2:$C$69,$A17,'テストケース'!$G$2:$G$69,"○")&amp;" / 10"</f>
      </c>
    </row>
    <row r="18" spans="1:2" x14ac:dyDescent="0.25">
      <c r="A18" s="8" t="s">
        <v>219</v>
      </c>
      <c r="B18" s="13">
        <f>COUNTIFS('テストケース'!$C$2:$C$69,$A18,'テストケース'!$G$2:$G$69,"○")&amp;" / 5"</f>
      </c>
    </row>
    <row r="19" spans="1:2" x14ac:dyDescent="0.25">
      <c r="A19" s="8" t="s">
        <v>240</v>
      </c>
      <c r="B19" s="13">
        <f>COUNTIFS('テストケース'!$C$2:$C$69,$A19,'テストケース'!$G$2:$G$69,"○")&amp;" / 8"</f>
      </c>
    </row>
    <row r="20" spans="1:2" x14ac:dyDescent="0.25">
      <c r="A20" s="8" t="s">
        <v>272</v>
      </c>
      <c r="B20" s="13">
        <f>COUNTIFS('テストケース'!$C$2:$C$69,$A20,'テストケース'!$G$2:$G$69,"○")&amp;" / 5"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0" style="13" customWidth="1"/>
    <col min="2" max="2" width="60" customWidth="1"/>
  </cols>
  <sheetData>
    <row r="1" spans="1:2" s="6" customFormat="1" x14ac:dyDescent="0.25">
      <c r="A1" s="14" t="s">
        <v>301</v>
      </c>
      <c r="B1" s="7" t="s">
        <v>302</v>
      </c>
    </row>
    <row r="2" spans="1:2" x14ac:dyDescent="0.25">
      <c r="A2" s="13" t="s">
        <v>303</v>
      </c>
      <c r="B2" t="s">
        <v>304</v>
      </c>
    </row>
    <row r="3" spans="1:2" x14ac:dyDescent="0.25">
      <c r="A3" s="13" t="s">
        <v>305</v>
      </c>
      <c r="B3" t="s">
        <v>306</v>
      </c>
    </row>
    <row r="4" spans="1:2" x14ac:dyDescent="0.25">
      <c r="A4" s="13" t="s">
        <v>307</v>
      </c>
      <c r="B4" t="s">
        <v>308</v>
      </c>
    </row>
    <row r="5" spans="1:2" x14ac:dyDescent="0.25">
      <c r="A5" s="13" t="s">
        <v>309</v>
      </c>
      <c r="B5" t="s">
        <v>310</v>
      </c>
    </row>
    <row r="7" spans="1:2" x14ac:dyDescent="0.25">
      <c r="A7" s="13" t="s">
        <v>16</v>
      </c>
      <c r="B7" t="s">
        <v>311</v>
      </c>
    </row>
    <row r="8" spans="1:2" x14ac:dyDescent="0.25">
      <c r="A8" s="13" t="s">
        <v>16</v>
      </c>
      <c r="B8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テストケース</vt:lpstr>
      <vt:lpstr>集計</vt:lpstr>
      <vt:lpstr>凡例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contact-form</dc:creator>
  <dc:title/>
  <dc:subject/>
  <dc:description/>
  <cp:keywords/>
  <cp:category/>
  <cp:lastModifiedBy>Unknown</cp:lastModifiedBy>
  <dcterms:created xsi:type="dcterms:W3CDTF">2026-09-13T08:55:27Z</dcterms:created>
  <dcterms:modified xsi:type="dcterms:W3CDTF">2026-09-13T08:55:27Z</dcterms:modified>
</cp:coreProperties>
</file>